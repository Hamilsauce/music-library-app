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31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cob\source\audio-js\"/>
    </mc:Choice>
  </mc:AlternateContent>
  <xr:revisionPtr revIDLastSave="0" documentId="8_{579F95B3-DB0F-4515-9287-750CB2F3BB07}" xr6:coauthVersionLast="45" xr6:coauthVersionMax="45" xr10:uidLastSave="{00000000-0000-0000-0000-000000000000}"/>
  <bookViews>
    <workbookView xWindow="-120" yWindow="-120" windowWidth="29040" windowHeight="16440" activeTab="2" xr2:uid="{DD0AE236-0D5E-45CA-813C-00B902C45AA4}"/>
  </bookViews>
  <sheets>
    <sheet name="Sheet1" sheetId="1" r:id="rId1"/>
    <sheet name="Original Data" sheetId="4" r:id="rId2"/>
    <sheet name="Revised Data" sheetId="5" r:id="rId3"/>
  </sheets>
  <definedNames>
    <definedName name="ExternalData_1" localSheetId="2" hidden="1">'Revised Data'!$C$6:$I$48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fullsongData_4dbd55ff-e660-4025-9426-782ff4c04ce4" name="fullsongData" connection="Query - fullsongData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9" i="5" l="1"/>
  <c r="G49" i="5"/>
  <c r="F49" i="5" l="1"/>
  <c r="E49" i="5"/>
  <c r="I49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7ECBDAE-A354-4B0D-8B8B-C4B43A9FE423}" keepAlive="1" name="ModelConnection_ExternalData_1" description="Data Model" type="5" refreshedVersion="6" minRefreshableVersion="5" saveData="1">
    <dbPr connection="Data Model Connection" command="fullsongDat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ADCE8C15-D041-4CFC-824C-B32D8A39DBFF}" keepAlive="1" name="Query - Document" description="Connection to the 'Document' query in the workbook." type="5" refreshedVersion="0" background="1">
    <dbPr connection="Provider=Microsoft.Mashup.OleDb.1;Data Source=$Workbook$;Location=Document;Extended Properties=&quot;&quot;" command="SELECT * FROM [Document]"/>
  </connection>
  <connection id="3" xr16:uid="{9DC7733E-2E73-4DB7-BDB5-F95A5F2B01FF}" name="Query - fullsongData" description="Connection to the 'fullsongData' query in the workbook." type="100" refreshedVersion="6" minRefreshableVersion="5">
    <extLst>
      <ext xmlns:x15="http://schemas.microsoft.com/office/spreadsheetml/2010/11/main" uri="{DE250136-89BD-433C-8126-D09CA5730AF9}">
        <x15:connection id="92449c16-f73d-4c7b-bb24-72c90b0c426d"/>
      </ext>
    </extLst>
  </connection>
  <connection id="4" xr16:uid="{21BD4273-1F95-47A7-AC46-5693FEF71626}" name="Query - paramTable" description="Get some" type="5" refreshedVersion="0" background="1">
    <dbPr connection="Provider=Microsoft.Mashup.OleDb.1;Data Source=$Workbook$;Location=&quot;Query - paramTable&quot;;Extended Properties=&quot;&quot;" command="SELECT * FROM paramTable"/>
  </connection>
  <connection id="5" xr16:uid="{F7770295-EFD7-4C71-9215-1DAD2A9331A4}" keepAlive="1" name="Query - qryTable2" description="Connection to the 'qryTable2' query in the workbook." type="5" refreshedVersion="0" background="1">
    <dbPr connection="Provider=Microsoft.Mashup.OleDb.1;Data Source=$Workbook$;Location=qryTable2;Extended Properties=&quot;&quot;" command="SELECT * FROM [qryTable2]"/>
  </connection>
  <connection id="6" xr16:uid="{D88022F1-9A3E-40A3-8074-7FE74D6CF473}" keepAlive="1" name="Query - songList" description="Connection to the 'songList' query in the workbook." type="5" refreshedVersion="0" background="1">
    <dbPr connection="Provider=Microsoft.Mashup.OleDb.1;Data Source=$Workbook$;Location=songList;Extended Properties=&quot;&quot;" command="SELECT * FROM [songList]"/>
  </connection>
  <connection id="7" xr16:uid="{13926D53-E101-4163-8F84-4A7EC6DE1F22}" keepAlive="1" name="Query - songTitle" description="Connection to the 'songTitle' query in the workbook." type="5" refreshedVersion="0" background="1">
    <dbPr connection="Provider=Microsoft.Mashup.OleDb.1;Data Source=$Workbook$;Location=songTitle;Extended Properties=&quot;&quot;" command="SELECT * FROM [songTitle]"/>
  </connection>
  <connection id="8" xr16:uid="{9B509667-5CD1-49A5-B738-27C1A8DF87F8}" name="Query - Table2" description="Get some" type="5" refreshedVersion="0" background="1">
    <dbPr connection="Provider=Microsoft.Mashup.OleDb.1;Data Source=$Workbook$;Location=&quot;Query - Table2&quot;;Extended Properties=&quot;&quot;" command="SELECT * FROM Table2"/>
  </connection>
  <connection id="9" xr16:uid="{AC936747-B6D9-481A-AC17-E5389935730F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<sst xmlns="http://schemas.openxmlformats.org/spreadsheetml/2006/main" count="281" uniqueCount="195">
  <si>
    <t>url</t>
  </si>
  <si>
    <t>param</t>
  </si>
  <si>
    <t>value</t>
  </si>
  <si>
    <t>https://soundcloud.com/hamilsauce/tracks</t>
  </si>
  <si>
    <t>Battle Star</t>
  </si>
  <si>
    <t>The Gypsy</t>
  </si>
  <si>
    <t>A Moaner's Chain Gang</t>
  </si>
  <si>
    <t>Lasers in the Jungle</t>
  </si>
  <si>
    <t>We're All In It Together</t>
  </si>
  <si>
    <t>Uncle Frog's Deep Space Chorus</t>
  </si>
  <si>
    <t>It Walks Among Us</t>
  </si>
  <si>
    <t>Ink Erodes</t>
  </si>
  <si>
    <t>Gregorian Moan</t>
  </si>
  <si>
    <t>Sunken Garden</t>
  </si>
  <si>
    <t>Son of Mad Dirt Machine</t>
  </si>
  <si>
    <t>Desolation</t>
  </si>
  <si>
    <t>Bootheel, p2</t>
  </si>
  <si>
    <t>Rethinking Bob Dylan's Buckets of Rain</t>
  </si>
  <si>
    <t>The Howling Menace and the Return of the Synths</t>
  </si>
  <si>
    <t>The Mad Dirt Machine</t>
  </si>
  <si>
    <t>Remix of Royals - Lorde</t>
  </si>
  <si>
    <t>Under The Sun</t>
  </si>
  <si>
    <t>Real FunTown</t>
  </si>
  <si>
    <t>Singularity M</t>
  </si>
  <si>
    <t>Baby Girl</t>
  </si>
  <si>
    <t>Ave Maria</t>
  </si>
  <si>
    <t>Brown Town</t>
  </si>
  <si>
    <t>Rat Boot Redux</t>
  </si>
  <si>
    <t>Jimnopeedie</t>
  </si>
  <si>
    <t>Stargazer Junk Recording1</t>
  </si>
  <si>
    <t>Glaciers</t>
  </si>
  <si>
    <t>Refined Love</t>
  </si>
  <si>
    <t>A Memory Remains</t>
  </si>
  <si>
    <t>How to Get a Wink From a Waitress</t>
  </si>
  <si>
    <t>We're All Victims Now!</t>
  </si>
  <si>
    <t>Mischievous</t>
  </si>
  <si>
    <t>Aurora</t>
  </si>
  <si>
    <t>Mozyin'</t>
  </si>
  <si>
    <t>Pfizer Entertains</t>
  </si>
  <si>
    <t>Lulu Goes Away</t>
  </si>
  <si>
    <t>The Overture of the Morbid Nietzschean Space Vikings</t>
  </si>
  <si>
    <t>Hoo Hoo, Ooo Eee Ooo</t>
  </si>
  <si>
    <t>Jake Hamilton</t>
  </si>
  <si>
    <t>Battle Star</t>
  </si>
  <si>
    <t>12 plays12</t>
  </si>
  <si>
    <t>View all likes4</t>
  </si>
  <si>
    <t>View all comments3</t>
  </si>
  <si>
    <t>Duration: 2 minutes 45 seconds2: 45Posted 4 days ago4 days ago</t>
  </si>
  <si>
    <t>View all likes1</t>
  </si>
  <si>
    <t>Walk With Me</t>
  </si>
  <si>
    <t>4 plays4</t>
  </si>
  <si>
    <t>Duration: 5 minutes5: 00Posted 7 days ago7 days ago</t>
  </si>
  <si>
    <t>The Gypsy</t>
  </si>
  <si>
    <t>View all likes5</t>
  </si>
  <si>
    <t>Duration: 3 minutes3: 00Posted 8 days ago8 days ago</t>
  </si>
  <si>
    <t>A Moaner's Chain Gang</t>
  </si>
  <si>
    <t>51 plays51</t>
  </si>
  <si>
    <t>View all likes2</t>
  </si>
  <si>
    <t>View all comments2</t>
  </si>
  <si>
    <t>Duration: 2 minutes 18 seconds2: 18Posted 18 days ago18 days ago</t>
  </si>
  <si>
    <t>Lasers in the Jungle</t>
  </si>
  <si>
    <t>6 plays6</t>
  </si>
  <si>
    <t>View all comments1</t>
  </si>
  <si>
    <t>Duration: 2 minutes 32 seconds2: 32Posted 18 days ago18 days ago</t>
  </si>
  <si>
    <t>A Memory Remains(re - remastered)</t>
  </si>
  <si>
    <t>View all likes3</t>
  </si>
  <si>
    <t>Duration: 4 minutes 29 seconds4: 29Posted 21 days ago21 days ago</t>
  </si>
  <si>
    <t>We're All In It Together</t>
  </si>
  <si>
    <t>7 plays7</t>
  </si>
  <si>
    <t>Duration: 2 minutes 29 seconds2: 29Posted 1 month ago1 month ago</t>
  </si>
  <si>
    <t>Uncle Frog's Deep Space Chorus</t>
  </si>
  <si>
    <t>11 plays11</t>
  </si>
  <si>
    <t>Duration: 4 minutes 8 seconds4: 08Posted 1 month ago1 month ago</t>
  </si>
  <si>
    <t>It Walks Among Us</t>
  </si>
  <si>
    <t>Duration: 3 minutes 20 seconds3: 20Posted 1 month ago1 month ago</t>
  </si>
  <si>
    <t>Ink Erodes</t>
  </si>
  <si>
    <t>22 plays22</t>
  </si>
  <si>
    <t>Duration: 4 minutes 9 seconds4: 09Posted 1 month ago1 month ago</t>
  </si>
  <si>
    <t>Gregorian Moan</t>
  </si>
  <si>
    <t>126 plays126</t>
  </si>
  <si>
    <t>Duration: 2 minutes 5 seconds2: 05Posted 1 month ago1 month ago</t>
  </si>
  <si>
    <t>Sunken Garden</t>
  </si>
  <si>
    <t>Duration: 3 minutes 15 seconds3: 15Posted 1 month ago1 month ago</t>
  </si>
  <si>
    <t>Son of Mad Dirt Machine</t>
  </si>
  <si>
    <t>68 plays68</t>
  </si>
  <si>
    <t>Duration: 7 minutes 2 seconds7: 02Posted 3 months ago3 months ago</t>
  </si>
  <si>
    <t>Duration: 4 minutes 37 seconds4: 37Posted 3 months ago3 months ago</t>
  </si>
  <si>
    <t>Bootheel, p2</t>
  </si>
  <si>
    <t>Duration: 2 minutes 18 seconds2: 18Posted 3 months ago3 months ago</t>
  </si>
  <si>
    <t>Bootheel(Dreaming of Life)</t>
  </si>
  <si>
    <t>65 plays65</t>
  </si>
  <si>
    <t>Duration: 1 minute 58 seconds1: 58Posted 3 months ago3 months ago</t>
  </si>
  <si>
    <t>Rethinking Bob Dylan's Buckets of Rain</t>
  </si>
  <si>
    <t>39 plays39</t>
  </si>
  <si>
    <t>Duration: 5 minutes 3 seconds5: 03Posted 4 months ago4 months ago</t>
  </si>
  <si>
    <t>The Howling Menace and the Return of the Synths</t>
  </si>
  <si>
    <t>35 plays35</t>
  </si>
  <si>
    <t>Duration: 6 minutes 28 seconds6: 28Posted 4 months ago4 months ago</t>
  </si>
  <si>
    <t>The Mad Dirt Machine</t>
  </si>
  <si>
    <t>18 plays18</t>
  </si>
  <si>
    <t>Duration: 3 minutes 5 seconds3: 05Posted 5 months ago5 months ago</t>
  </si>
  <si>
    <t>Remix of Royals - Lorde</t>
  </si>
  <si>
    <t>13 plays13</t>
  </si>
  <si>
    <t>Duration: 3 minutes 20 seconds3: 20Posted 5 months ago5 months ago</t>
  </si>
  <si>
    <t>Under The Sun</t>
  </si>
  <si>
    <t>16 plays16</t>
  </si>
  <si>
    <t>Duration: 4 minutes 58 seconds4: 58Posted 5 months ago5 months ago</t>
  </si>
  <si>
    <t>Real FunTown</t>
  </si>
  <si>
    <t>Duration: 4 minutes 23 seconds4: 23Posted 7 months ago7 months ago</t>
  </si>
  <si>
    <t>Singularity M</t>
  </si>
  <si>
    <t>27 plays27</t>
  </si>
  <si>
    <t>Duration: 4 minutes 14 seconds4: 14Posted 7 months ago7 months ago</t>
  </si>
  <si>
    <t>Baby Girl</t>
  </si>
  <si>
    <t>72 plays72</t>
  </si>
  <si>
    <t>Duration: 2 minutes 6 seconds2: 06Posted 2 years ago2 years ago</t>
  </si>
  <si>
    <t>Ave Maria</t>
  </si>
  <si>
    <t>121 plays121</t>
  </si>
  <si>
    <t>Duration: 2 minutes 24 seconds2: 24Posted 2 years ago2 years ago</t>
  </si>
  <si>
    <t>Brown Town</t>
  </si>
  <si>
    <t>40 plays40</t>
  </si>
  <si>
    <t>Duration: 3 minutes 26 seconds3: 26Posted 3 years ago3 years ago</t>
  </si>
  <si>
    <t>A Maiden's Prayer</t>
  </si>
  <si>
    <t>70 plays70</t>
  </si>
  <si>
    <t>Duration: 2 minutes 9 seconds2: 09Posted 3 years ago3 years ago</t>
  </si>
  <si>
    <t>52 plays52</t>
  </si>
  <si>
    <t>Duration: 4 minutes 55 seconds4: 55Posted 3 years ago3 years ago</t>
  </si>
  <si>
    <t>59 plays59</t>
  </si>
  <si>
    <t>Duration: 2 minutes 28 seconds2: 28Posted 5 years ago5 years ago</t>
  </si>
  <si>
    <t>Stargazer Junk Recording1</t>
  </si>
  <si>
    <t>24 plays24</t>
  </si>
  <si>
    <t>Duration: 5 minutes 43 seconds5: 43Posted 5 years ago5 years ago</t>
  </si>
  <si>
    <t>151 plays151</t>
  </si>
  <si>
    <t>Duration: 4 minutes 16 seconds4: 16Posted 5 years ago5 years ago</t>
  </si>
  <si>
    <t>Refined Love</t>
  </si>
  <si>
    <t>Duration: 4 minutes 2 seconds4: 02Posted 5 years ago5 years ago</t>
  </si>
  <si>
    <t>A Memory Remains</t>
  </si>
  <si>
    <t>78 plays78</t>
  </si>
  <si>
    <t>Duration: 4 minutes 3 seconds4: 03Posted 5 years ago5 years ago</t>
  </si>
  <si>
    <t>What Do You Know ?</t>
  </si>
  <si>
    <t>    183 plays183</t>
  </si>
  <si>
    <t>Duration: 5 minutes 25 seconds5: 25Posted 6 years ago6 years ago</t>
  </si>
  <si>
    <t>How to Get a Wink From a Waitress</t>
  </si>
  <si>
    <t>Duration: 4 minutes 50 seconds4: 50Posted 6 years ago6 years ago</t>
  </si>
  <si>
    <t>We're All Victims Now!</t>
  </si>
  <si>
    <t>50 plays50</t>
  </si>
  <si>
    <t>Duration: 5 minutes 27 seconds5: 27Posted 6 years ago6 years ago</t>
  </si>
  <si>
    <t>Duration: 4 minutes 43 seconds4: 43Posted 6 years ago6 years ago</t>
  </si>
  <si>
    <t>54 plays54</t>
  </si>
  <si>
    <t>Duration: 8 minutes8: 00Posted 6 years ago6 years ago</t>
  </si>
  <si>
    <t>Dreamers(Suburban Sexual Tension)</t>
  </si>
  <si>
    <t>46 plays46</t>
  </si>
  <si>
    <t>Duration: 4 minutes 32 seconds4: 32Posted 7 years ago7 years ago</t>
  </si>
  <si>
    <t>66 plays66</t>
  </si>
  <si>
    <t>Duration: 3 minutes 50 seconds3: 50Posted 7 years ago7 years ago</t>
  </si>
  <si>
    <t>Pfizer Entertains</t>
  </si>
  <si>
    <t>60 plays60</t>
  </si>
  <si>
    <t>Duration: 3 minutes 22 seconds3: 22Posted 7 years ago7 years ago</t>
  </si>
  <si>
    <t>Lulu Goes Away</t>
  </si>
  <si>
    <t>67 plays67</t>
  </si>
  <si>
    <t>Duration: 4 minutes 8 seconds4: 08Posted 7 years ago7 years ago</t>
  </si>
  <si>
    <t>The Overture of the Morbid Nietzschean Space Vikings</t>
  </si>
  <si>
    <t>80 plays80</t>
  </si>
  <si>
    <t>View all reposts1</t>
  </si>
  <si>
    <t>Duration: 3 minutes 3 seconds3: 03Posted 7 years ago7 years ago</t>
  </si>
  <si>
    <t>Hoo Hoo, Ooo Eee Ooo</t>
  </si>
  <si>
    <t>503 plays503</t>
  </si>
  <si>
    <t>ID</t>
  </si>
  <si>
    <t>songTitle</t>
  </si>
  <si>
    <t>plays</t>
  </si>
  <si>
    <t>likes</t>
  </si>
  <si>
    <t>comments</t>
  </si>
  <si>
    <t>duration_PostedDate</t>
  </si>
  <si>
    <t>Plays</t>
  </si>
  <si>
    <t>Duration</t>
  </si>
  <si>
    <t>Published</t>
  </si>
  <si>
    <t>Comments</t>
  </si>
  <si>
    <t>4 days ago</t>
  </si>
  <si>
    <t>6 years ago</t>
  </si>
  <si>
    <t>18 days ago</t>
  </si>
  <si>
    <t>A Memory Remains(re - remastered)</t>
  </si>
  <si>
    <t>21 days ago</t>
  </si>
  <si>
    <t>1 month ago</t>
  </si>
  <si>
    <t>3 months ago</t>
  </si>
  <si>
    <t>Bootheel(Dreaming of Life)</t>
  </si>
  <si>
    <t>4 months ago</t>
  </si>
  <si>
    <t>5 months ago</t>
  </si>
  <si>
    <t>7 months ago</t>
  </si>
  <si>
    <t>2 years ago</t>
  </si>
  <si>
    <t>3 years ago</t>
  </si>
  <si>
    <t>5 years ago</t>
  </si>
  <si>
    <t>What Do You Know ?</t>
  </si>
  <si>
    <t>Dreamers(Suburban Sexual Tension)</t>
  </si>
  <si>
    <t>7 years ago</t>
  </si>
  <si>
    <t>Soundcloud Track List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</si>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</sst>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\.hh:mm:ss"/>
  </numFmts>
  <fonts count="4" x14ac:knownFonts="1">
    <font>
      <sz val="12"/>
      <color theme="1"/>
      <name val="Segoe UI"/>
      <family val="2"/>
    </font>
    <font>
      <u/>
      <sz val="12"/>
      <color theme="10"/>
      <name val="Segoe UI"/>
      <family val="2"/>
    </font>
    <font>
      <sz val="14"/>
      <color theme="1"/>
      <name val="Segoe UI"/>
      <family val="2"/>
    </font>
    <font>
      <sz val="14"/>
      <color theme="1"/>
      <name val="Segoe UI Semibold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1"/>
    <xf numFmtId="164" fontId="0" fillId="0" borderId="0" xfId="0" applyNumberFormat="1"/>
    <xf numFmtId="0" fontId="2" fillId="0" borderId="0" xfId="0" applyFont="1"/>
    <xf numFmtId="0" fontId="2" fillId="0" borderId="0" xfId="0" applyNumberFormat="1" applyFont="1" applyAlignment="1">
      <alignment horizontal="left" indent="1"/>
    </xf>
    <xf numFmtId="45" fontId="2" fillId="0" borderId="0" xfId="0" applyNumberFormat="1" applyFont="1"/>
    <xf numFmtId="0" fontId="3" fillId="0" borderId="0" xfId="0" applyFont="1" applyAlignment="1">
      <alignment horizontal="center" vertical="top"/>
    </xf>
  </cellXfs>
  <cellStyles count="2">
    <cellStyle name="Hyperlink" xfId="1" builtinId="8"/>
    <cellStyle name="Normal" xfId="0" builtinId="0"/>
  </cellStyles>
  <dxfs count="20">
    <dxf>
      <font>
        <strike val="0"/>
        <outline val="0"/>
        <shadow val="0"/>
        <u val="none"/>
        <vertAlign val="baseline"/>
        <sz val="14"/>
        <color theme="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Segoe UI"/>
        <family val="2"/>
        <scheme val="none"/>
      </font>
      <numFmt numFmtId="0" formatCode="General"/>
      <alignment horizontal="left" vertical="bottom" textRotation="0" wrapText="0" indent="1" justifyLastLine="0" shrinkToFit="0" readingOrder="0"/>
    </dxf>
    <dxf>
      <numFmt numFmtId="164" formatCode="d\.hh:mm:ss"/>
    </dxf>
    <dxf>
      <font>
        <strike val="0"/>
        <outline val="0"/>
        <shadow val="0"/>
        <u val="none"/>
        <vertAlign val="baseline"/>
        <sz val="14"/>
        <color theme="1"/>
        <name val="Segoe UI"/>
        <family val="2"/>
        <scheme val="none"/>
      </font>
      <numFmt numFmtId="28" formatCode="mm:ss"/>
    </dxf>
    <dxf>
      <font>
        <strike val="0"/>
        <outline val="0"/>
        <shadow val="0"/>
        <u val="none"/>
        <vertAlign val="baseline"/>
        <sz val="14"/>
        <color theme="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Segoe UI"/>
        <family val="2"/>
        <scheme val="none"/>
      </font>
      <numFmt numFmtId="0" formatCode="General"/>
      <alignment horizontal="lef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Segoe UI"/>
        <family val="2"/>
        <scheme val="none"/>
      </font>
    </dxf>
    <dxf>
      <font>
        <strike val="0"/>
        <outline val="0"/>
        <shadow val="0"/>
        <u val="none"/>
        <vertAlign val="baseline"/>
        <sz val="14"/>
        <color theme="1"/>
        <name val="Segoe UI Semibold"/>
        <family val="2"/>
        <scheme val="none"/>
      </font>
      <alignment horizontal="center" vertical="top" textRotation="0" wrapText="0" indent="0" justifyLastLine="0" shrinkToFit="0" readingOrder="0"/>
    </dxf>
    <dxf>
      <fill>
        <patternFill>
          <bgColor rgb="FFFFEEB9"/>
        </patternFill>
      </fill>
      <border>
        <top style="thin">
          <color theme="0"/>
        </top>
        <bottom style="thin">
          <color theme="0"/>
        </bottom>
      </border>
    </dxf>
    <dxf>
      <border>
        <left style="thin">
          <color theme="4"/>
        </left>
      </border>
    </dxf>
    <dxf>
      <border>
        <left style="thin">
          <color rgb="FFB9CAE9"/>
        </left>
      </border>
    </dxf>
    <dxf>
      <border>
        <top style="thin">
          <color theme="4" tint="0.79998168889431442"/>
        </top>
      </border>
    </dxf>
    <dxf>
      <border>
        <top style="thin">
          <color theme="4" tint="0.79998168889431442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  <border>
        <bottom style="medium">
          <color theme="0"/>
        </bottom>
        <vertical style="medium">
          <color theme="4" tint="0.39994506668294322"/>
        </vertical>
      </border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</dxfs>
  <tableStyles count="1" defaultTableStyle="TableStyleMedium2" defaultPivotStyle="PivotStyleLight16">
    <tableStyle name="TableStyleLight9 2" pivot="0" count="9" xr9:uid="{027944AE-D149-4928-9255-8BF6083B9957}">
      <tableStyleElement type="wholeTable" dxfId="19"/>
      <tableStyleElement type="headerRow" dxfId="18"/>
      <tableStyleElement type="totalRow" dxfId="17"/>
      <tableStyleElement type="firstColumn" dxfId="16"/>
      <tableStyleElement type="lastColumn" dxfId="15"/>
      <tableStyleElement type="firstRowStripe" dxfId="14"/>
      <tableStyleElement type="secondRowStripe" dxfId="13"/>
      <tableStyleElement type="firstColumnStripe" dxfId="12"/>
      <tableStyleElement type="secondColumnStripe" dxfId="11"/>
    </tableStyle>
  </tableStyles>
  <colors>
    <mruColors>
      <color rgb="FFB9CAE9"/>
      <color rgb="FFFFEEB9"/>
      <color rgb="FFFFDA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5" Type="http://schemas.microsoft.com/office/2006/relationships/vbaProject" Target="vbaProject.bin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Relationship Id="rId14" Type="http://schemas.openxmlformats.org/officeDocument/2006/relationships/customXml" Target="../customXml/item5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3F14D94-33D3-4A53-BBCE-047C9418C934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songTitle" tableColumnId="2"/>
      <queryTableField id="3" name="Plays" tableColumnId="3"/>
      <queryTableField id="4" name="likes" tableColumnId="4"/>
      <queryTableField id="5" name="Duration" tableColumnId="5"/>
      <queryTableField id="6" name="Published" tableColumnId="6"/>
      <queryTableField id="7" name="Comments" tableColumnId="7"/>
    </queryTableFields>
  </queryTableRefresh>
  <extLst>
    <ext xmlns:x15="http://schemas.microsoft.com/office/spreadsheetml/2010/11/main" uri="{883FBD77-0823-4a55-B5E3-86C4891E6966}">
      <x15:queryTable sourceDataName="Query - fullsongData"/>
    </ext>
  </extLst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EF872CD-EA08-4962-AA60-F94100017B05}" name="paramTable" displayName="paramTable" ref="B2:C3" totalsRowShown="0">
  <autoFilter ref="B2:C3" xr:uid="{8B42B7AE-0452-4B53-BA49-D06839FAD107}"/>
  <tableColumns count="2">
    <tableColumn id="1" xr3:uid="{EB9352B4-D16B-4DEA-81C1-0389C1519BEF}" name="param"/>
    <tableColumn id="2" xr3:uid="{E385A20A-A2AF-499C-B422-EC79B2438419}" name="value" dataCellStyle="Hyperlin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29B0DD-AF5A-4D48-889F-5D346DEBA38B}" name="Table2" displayName="Table2" ref="E1:J44" totalsRowShown="0">
  <autoFilter ref="E1:J44" xr:uid="{0D0AC7B1-200B-4DEF-A629-742ED3A44A4C}"/>
  <tableColumns count="6">
    <tableColumn id="1" xr3:uid="{E1E68CDC-90BB-4F4E-B819-BE5D997B6D77}" name="ID"/>
    <tableColumn id="2" xr3:uid="{3EF4DCD8-BFCA-4DE0-ADF8-C2C31E31AD88}" name="songTitle"/>
    <tableColumn id="3" xr3:uid="{A419BCA5-F191-4966-BD8E-1CDCA91A696D}" name="plays"/>
    <tableColumn id="4" xr3:uid="{95A70684-6E11-4CEB-A562-27E9ACBDD7AE}" name="likes"/>
    <tableColumn id="5" xr3:uid="{FF3A9643-6147-428F-B929-BAF34F20197D}" name="comments"/>
    <tableColumn id="6" xr3:uid="{6B4C108B-3F24-4C9E-83D0-166913D40C5E}" name="duration_PostedD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E162E04-08A2-4F1C-AC9A-CD257B053F9B}" name="fullsongData" displayName="fullsongData" ref="C6:I49" tableType="queryTable" totalsRowCount="1" headerRowDxfId="9" dataDxfId="8">
  <autoFilter ref="C6:I48" xr:uid="{C5BB7DE5-923E-4A26-9066-F8C65BC03EAD}"/>
  <tableColumns count="7">
    <tableColumn id="1" xr3:uid="{E20B1176-65BC-48F7-93DF-9426B98D658A}" uniqueName="1" name="ID" totalsRowLabel="Total" queryTableFieldId="1" dataDxfId="7"/>
    <tableColumn id="2" xr3:uid="{4BE257D6-358B-401F-AFA3-8B450D074475}" uniqueName="2" name="songTitle" queryTableFieldId="2" dataDxfId="6"/>
    <tableColumn id="3" xr3:uid="{7EF9AE6B-F969-4B52-BE7C-A335BF5D9A46}" uniqueName="3" name="Plays" totalsRowFunction="sum" queryTableFieldId="3" dataDxfId="5"/>
    <tableColumn id="4" xr3:uid="{19DF9240-BD12-4AD5-AD01-8F64E6EA8B0D}" uniqueName="4" name="likes" totalsRowFunction="sum" queryTableFieldId="4" dataDxfId="4"/>
    <tableColumn id="5" xr3:uid="{B74A51FA-6277-4EB2-9065-82680548F28C}" uniqueName="5" name="Duration" totalsRowFunction="sum" queryTableFieldId="5" dataDxfId="3" totalsRowDxfId="2"/>
    <tableColumn id="6" xr3:uid="{5FCFBEA5-128F-476E-9026-CAEA412F30ED}" uniqueName="6" name="Published" totalsRowFunction="average" queryTableFieldId="6" dataDxfId="1"/>
    <tableColumn id="7" xr3:uid="{A03C1AEB-E09F-426E-AB35-6D0225F38BBB}" uniqueName="7" name="Comments" totalsRowFunction="sum" queryTableFieldId="7" dataDxfId="0"/>
  </tableColumns>
  <tableStyleInfo name="TableStyleLight9 2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F54F7-72BA-4B9D-BB83-AFBD3276C3E7}">
  <sheetPr codeName="Sheet2"/>
  <dimension ref="B2:C3"/>
  <sheetViews>
    <sheetView workbookViewId="0">
      <selection activeCell="F7" sqref="F7"/>
    </sheetView>
  </sheetViews>
  <sheetFormatPr defaultRowHeight="17.25" x14ac:dyDescent="0.3"/>
  <sheetData>
    <row r="2" spans="2:3" x14ac:dyDescent="0.3">
      <c r="B2" t="s">
        <v>1</v>
      </c>
      <c r="C2" t="s">
        <v>2</v>
      </c>
    </row>
    <row r="3" spans="2:3" x14ac:dyDescent="0.3">
      <c r="B3" t="s">
        <v>0</v>
      </c>
      <c r="C3" s="1" t="s">
        <v>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3C503-2DE5-4CE9-8595-8DB5AE7FD620}">
  <sheetPr codeName="Sheet4"/>
  <dimension ref="E1:J170"/>
  <sheetViews>
    <sheetView topLeftCell="F8" zoomScale="85" zoomScaleNormal="85" workbookViewId="0">
      <selection activeCell="H34" sqref="H34"/>
    </sheetView>
  </sheetViews>
  <sheetFormatPr defaultRowHeight="17.25" x14ac:dyDescent="0.3"/>
  <cols>
    <col min="6" max="6" width="43.88671875" bestFit="1" customWidth="1"/>
    <col min="7" max="7" width="16.6640625" bestFit="1" customWidth="1"/>
    <col min="8" max="9" width="57.33203125" bestFit="1" customWidth="1"/>
    <col min="10" max="10" width="54.6640625" bestFit="1" customWidth="1"/>
    <col min="11" max="11" width="52.5546875" bestFit="1" customWidth="1"/>
  </cols>
  <sheetData>
    <row r="1" spans="5:10" x14ac:dyDescent="0.3">
      <c r="E1" t="s">
        <v>166</v>
      </c>
      <c r="F1" t="s">
        <v>167</v>
      </c>
      <c r="G1" t="s">
        <v>168</v>
      </c>
      <c r="H1" t="s">
        <v>169</v>
      </c>
      <c r="I1" t="s">
        <v>170</v>
      </c>
      <c r="J1" t="s">
        <v>171</v>
      </c>
    </row>
    <row r="2" spans="5:10" x14ac:dyDescent="0.3">
      <c r="E2">
        <v>1</v>
      </c>
      <c r="F2" t="s">
        <v>43</v>
      </c>
      <c r="G2" t="s">
        <v>44</v>
      </c>
      <c r="H2" t="s">
        <v>45</v>
      </c>
      <c r="I2" t="s">
        <v>46</v>
      </c>
      <c r="J2" t="s">
        <v>47</v>
      </c>
    </row>
    <row r="3" spans="5:10" x14ac:dyDescent="0.3">
      <c r="E3">
        <v>2</v>
      </c>
      <c r="F3" t="s">
        <v>49</v>
      </c>
      <c r="G3" t="s">
        <v>50</v>
      </c>
      <c r="H3" t="s">
        <v>45</v>
      </c>
      <c r="I3" t="s">
        <v>51</v>
      </c>
    </row>
    <row r="4" spans="5:10" x14ac:dyDescent="0.3">
      <c r="E4">
        <v>3</v>
      </c>
      <c r="F4" t="s">
        <v>52</v>
      </c>
      <c r="G4" t="s">
        <v>44</v>
      </c>
      <c r="H4" t="s">
        <v>53</v>
      </c>
      <c r="I4" t="s">
        <v>54</v>
      </c>
    </row>
    <row r="5" spans="5:10" x14ac:dyDescent="0.3">
      <c r="E5">
        <v>4</v>
      </c>
      <c r="F5" t="s">
        <v>55</v>
      </c>
      <c r="G5" t="s">
        <v>56</v>
      </c>
      <c r="H5" t="s">
        <v>57</v>
      </c>
      <c r="I5" t="s">
        <v>58</v>
      </c>
      <c r="J5" t="s">
        <v>59</v>
      </c>
    </row>
    <row r="6" spans="5:10" x14ac:dyDescent="0.3">
      <c r="E6">
        <v>5</v>
      </c>
      <c r="F6" t="s">
        <v>60</v>
      </c>
      <c r="G6" t="s">
        <v>61</v>
      </c>
      <c r="H6" t="s">
        <v>48</v>
      </c>
      <c r="I6" t="s">
        <v>62</v>
      </c>
      <c r="J6" t="s">
        <v>63</v>
      </c>
    </row>
    <row r="7" spans="5:10" x14ac:dyDescent="0.3">
      <c r="E7">
        <v>6</v>
      </c>
      <c r="F7" t="s">
        <v>64</v>
      </c>
      <c r="G7" t="s">
        <v>61</v>
      </c>
      <c r="H7" t="s">
        <v>65</v>
      </c>
      <c r="I7" t="s">
        <v>62</v>
      </c>
      <c r="J7" t="s">
        <v>66</v>
      </c>
    </row>
    <row r="8" spans="5:10" x14ac:dyDescent="0.3">
      <c r="E8">
        <v>7</v>
      </c>
      <c r="F8" t="s">
        <v>67</v>
      </c>
      <c r="G8" t="s">
        <v>68</v>
      </c>
      <c r="H8" t="s">
        <v>57</v>
      </c>
      <c r="I8" t="s">
        <v>69</v>
      </c>
    </row>
    <row r="9" spans="5:10" x14ac:dyDescent="0.3">
      <c r="E9">
        <v>8</v>
      </c>
      <c r="F9" t="s">
        <v>70</v>
      </c>
      <c r="G9" t="s">
        <v>71</v>
      </c>
      <c r="H9" t="s">
        <v>48</v>
      </c>
      <c r="I9" t="s">
        <v>72</v>
      </c>
    </row>
    <row r="10" spans="5:10" x14ac:dyDescent="0.3">
      <c r="E10">
        <v>9</v>
      </c>
      <c r="F10" t="s">
        <v>73</v>
      </c>
      <c r="G10" t="s">
        <v>50</v>
      </c>
      <c r="H10" t="s">
        <v>57</v>
      </c>
      <c r="I10" t="s">
        <v>74</v>
      </c>
    </row>
    <row r="11" spans="5:10" x14ac:dyDescent="0.3">
      <c r="E11">
        <v>10</v>
      </c>
      <c r="F11" t="s">
        <v>75</v>
      </c>
      <c r="G11" t="s">
        <v>76</v>
      </c>
      <c r="H11" t="s">
        <v>48</v>
      </c>
      <c r="I11" t="s">
        <v>77</v>
      </c>
    </row>
    <row r="12" spans="5:10" x14ac:dyDescent="0.3">
      <c r="E12">
        <v>11</v>
      </c>
      <c r="F12" t="s">
        <v>78</v>
      </c>
      <c r="G12" t="s">
        <v>79</v>
      </c>
      <c r="H12" t="s">
        <v>80</v>
      </c>
    </row>
    <row r="13" spans="5:10" x14ac:dyDescent="0.3">
      <c r="E13">
        <v>12</v>
      </c>
      <c r="F13" t="s">
        <v>81</v>
      </c>
      <c r="G13" t="s">
        <v>61</v>
      </c>
      <c r="H13" t="s">
        <v>82</v>
      </c>
    </row>
    <row r="14" spans="5:10" x14ac:dyDescent="0.3">
      <c r="E14">
        <v>13</v>
      </c>
      <c r="F14" t="s">
        <v>83</v>
      </c>
      <c r="G14" t="s">
        <v>84</v>
      </c>
      <c r="H14" t="s">
        <v>48</v>
      </c>
      <c r="I14" t="s">
        <v>85</v>
      </c>
    </row>
    <row r="15" spans="5:10" x14ac:dyDescent="0.3">
      <c r="E15">
        <v>14</v>
      </c>
      <c r="F15" t="s">
        <v>15</v>
      </c>
      <c r="G15" t="s">
        <v>76</v>
      </c>
      <c r="H15" t="s">
        <v>65</v>
      </c>
      <c r="I15" t="s">
        <v>86</v>
      </c>
    </row>
    <row r="16" spans="5:10" x14ac:dyDescent="0.3">
      <c r="E16">
        <v>15</v>
      </c>
      <c r="F16" t="s">
        <v>87</v>
      </c>
      <c r="G16" t="s">
        <v>61</v>
      </c>
      <c r="H16" t="s">
        <v>48</v>
      </c>
      <c r="I16" t="s">
        <v>88</v>
      </c>
    </row>
    <row r="17" spans="5:10" x14ac:dyDescent="0.3">
      <c r="E17">
        <v>16</v>
      </c>
      <c r="F17" t="s">
        <v>89</v>
      </c>
      <c r="G17" t="s">
        <v>90</v>
      </c>
      <c r="H17" t="s">
        <v>48</v>
      </c>
      <c r="I17" t="s">
        <v>91</v>
      </c>
    </row>
    <row r="18" spans="5:10" x14ac:dyDescent="0.3">
      <c r="E18">
        <v>17</v>
      </c>
      <c r="F18" t="s">
        <v>92</v>
      </c>
      <c r="G18" t="s">
        <v>93</v>
      </c>
      <c r="H18" t="s">
        <v>53</v>
      </c>
      <c r="I18" t="s">
        <v>94</v>
      </c>
    </row>
    <row r="19" spans="5:10" x14ac:dyDescent="0.3">
      <c r="E19">
        <v>18</v>
      </c>
      <c r="F19" t="s">
        <v>95</v>
      </c>
      <c r="G19" t="s">
        <v>96</v>
      </c>
      <c r="H19" t="s">
        <v>57</v>
      </c>
      <c r="I19" t="s">
        <v>97</v>
      </c>
    </row>
    <row r="20" spans="5:10" x14ac:dyDescent="0.3">
      <c r="E20">
        <v>19</v>
      </c>
      <c r="F20" t="s">
        <v>98</v>
      </c>
      <c r="G20" t="s">
        <v>99</v>
      </c>
      <c r="H20" t="s">
        <v>53</v>
      </c>
      <c r="I20" t="s">
        <v>100</v>
      </c>
    </row>
    <row r="21" spans="5:10" x14ac:dyDescent="0.3">
      <c r="E21">
        <v>20</v>
      </c>
      <c r="F21" t="s">
        <v>101</v>
      </c>
      <c r="G21" t="s">
        <v>102</v>
      </c>
      <c r="H21" t="s">
        <v>48</v>
      </c>
      <c r="I21" t="s">
        <v>103</v>
      </c>
    </row>
    <row r="22" spans="5:10" x14ac:dyDescent="0.3">
      <c r="E22">
        <v>21</v>
      </c>
      <c r="F22" t="s">
        <v>104</v>
      </c>
      <c r="G22" t="s">
        <v>105</v>
      </c>
      <c r="H22" t="s">
        <v>106</v>
      </c>
    </row>
    <row r="23" spans="5:10" x14ac:dyDescent="0.3">
      <c r="E23">
        <v>22</v>
      </c>
      <c r="F23" t="s">
        <v>107</v>
      </c>
      <c r="G23" t="s">
        <v>99</v>
      </c>
      <c r="H23" t="s">
        <v>57</v>
      </c>
      <c r="I23" t="s">
        <v>108</v>
      </c>
    </row>
    <row r="24" spans="5:10" x14ac:dyDescent="0.3">
      <c r="E24">
        <v>23</v>
      </c>
      <c r="F24" t="s">
        <v>109</v>
      </c>
      <c r="G24" t="s">
        <v>110</v>
      </c>
      <c r="H24" t="s">
        <v>45</v>
      </c>
      <c r="I24" t="s">
        <v>111</v>
      </c>
    </row>
    <row r="25" spans="5:10" x14ac:dyDescent="0.3">
      <c r="E25">
        <v>24</v>
      </c>
      <c r="F25" t="s">
        <v>112</v>
      </c>
      <c r="G25" t="s">
        <v>113</v>
      </c>
      <c r="H25" t="s">
        <v>48</v>
      </c>
      <c r="I25" t="s">
        <v>114</v>
      </c>
    </row>
    <row r="26" spans="5:10" x14ac:dyDescent="0.3">
      <c r="E26">
        <v>25</v>
      </c>
      <c r="F26" t="s">
        <v>115</v>
      </c>
      <c r="G26" t="s">
        <v>116</v>
      </c>
      <c r="H26" t="s">
        <v>53</v>
      </c>
      <c r="I26" t="s">
        <v>117</v>
      </c>
    </row>
    <row r="27" spans="5:10" x14ac:dyDescent="0.3">
      <c r="E27">
        <v>26</v>
      </c>
      <c r="F27" t="s">
        <v>118</v>
      </c>
      <c r="G27" t="s">
        <v>119</v>
      </c>
      <c r="H27" t="s">
        <v>57</v>
      </c>
      <c r="I27" t="s">
        <v>62</v>
      </c>
      <c r="J27" t="s">
        <v>120</v>
      </c>
    </row>
    <row r="28" spans="5:10" x14ac:dyDescent="0.3">
      <c r="E28">
        <v>27</v>
      </c>
      <c r="F28" t="s">
        <v>27</v>
      </c>
      <c r="G28" t="s">
        <v>124</v>
      </c>
      <c r="H28" t="s">
        <v>62</v>
      </c>
      <c r="I28" t="s">
        <v>125</v>
      </c>
    </row>
    <row r="29" spans="5:10" x14ac:dyDescent="0.3">
      <c r="E29">
        <v>28</v>
      </c>
      <c r="F29" t="s">
        <v>28</v>
      </c>
      <c r="G29" t="s">
        <v>126</v>
      </c>
      <c r="H29" t="s">
        <v>48</v>
      </c>
      <c r="I29" t="s">
        <v>127</v>
      </c>
    </row>
    <row r="30" spans="5:10" x14ac:dyDescent="0.3">
      <c r="E30">
        <v>29</v>
      </c>
      <c r="F30" t="s">
        <v>128</v>
      </c>
      <c r="G30" t="s">
        <v>129</v>
      </c>
      <c r="H30" t="s">
        <v>130</v>
      </c>
    </row>
    <row r="31" spans="5:10" x14ac:dyDescent="0.3">
      <c r="E31">
        <v>30</v>
      </c>
      <c r="F31" t="s">
        <v>30</v>
      </c>
      <c r="G31" t="s">
        <v>131</v>
      </c>
      <c r="H31" t="s">
        <v>132</v>
      </c>
    </row>
    <row r="32" spans="5:10" x14ac:dyDescent="0.3">
      <c r="E32">
        <v>31</v>
      </c>
      <c r="F32" t="s">
        <v>133</v>
      </c>
      <c r="G32" t="s">
        <v>126</v>
      </c>
      <c r="H32" t="s">
        <v>134</v>
      </c>
    </row>
    <row r="33" spans="5:10" x14ac:dyDescent="0.3">
      <c r="E33">
        <v>32</v>
      </c>
      <c r="F33" t="s">
        <v>135</v>
      </c>
      <c r="G33" t="s">
        <v>136</v>
      </c>
      <c r="H33" t="s">
        <v>137</v>
      </c>
    </row>
    <row r="34" spans="5:10" x14ac:dyDescent="0.3">
      <c r="E34">
        <v>33</v>
      </c>
      <c r="F34" t="s">
        <v>138</v>
      </c>
      <c r="G34" t="s">
        <v>139</v>
      </c>
      <c r="H34" t="s">
        <v>65</v>
      </c>
      <c r="I34" t="s">
        <v>140</v>
      </c>
    </row>
    <row r="35" spans="5:10" x14ac:dyDescent="0.3">
      <c r="E35">
        <v>34</v>
      </c>
      <c r="F35" t="s">
        <v>141</v>
      </c>
      <c r="G35" t="s">
        <v>124</v>
      </c>
      <c r="H35" t="s">
        <v>48</v>
      </c>
      <c r="I35" t="s">
        <v>62</v>
      </c>
      <c r="J35" t="s">
        <v>142</v>
      </c>
    </row>
    <row r="36" spans="5:10" x14ac:dyDescent="0.3">
      <c r="E36">
        <v>35</v>
      </c>
      <c r="F36" t="s">
        <v>143</v>
      </c>
      <c r="G36" t="s">
        <v>144</v>
      </c>
      <c r="H36" t="s">
        <v>57</v>
      </c>
      <c r="I36" t="s">
        <v>145</v>
      </c>
    </row>
    <row r="37" spans="5:10" x14ac:dyDescent="0.3">
      <c r="E37">
        <v>36</v>
      </c>
      <c r="F37" t="s">
        <v>35</v>
      </c>
      <c r="G37" t="s">
        <v>96</v>
      </c>
      <c r="H37" t="s">
        <v>48</v>
      </c>
      <c r="I37" t="s">
        <v>62</v>
      </c>
      <c r="J37" t="s">
        <v>146</v>
      </c>
    </row>
    <row r="38" spans="5:10" x14ac:dyDescent="0.3">
      <c r="E38">
        <v>37</v>
      </c>
      <c r="F38" t="s">
        <v>36</v>
      </c>
      <c r="G38" t="s">
        <v>147</v>
      </c>
      <c r="H38" t="s">
        <v>48</v>
      </c>
      <c r="I38" t="s">
        <v>62</v>
      </c>
      <c r="J38" t="s">
        <v>148</v>
      </c>
    </row>
    <row r="39" spans="5:10" x14ac:dyDescent="0.3">
      <c r="E39">
        <v>38</v>
      </c>
      <c r="F39" t="s">
        <v>149</v>
      </c>
      <c r="G39" t="s">
        <v>150</v>
      </c>
      <c r="H39" t="s">
        <v>151</v>
      </c>
    </row>
    <row r="40" spans="5:10" x14ac:dyDescent="0.3">
      <c r="E40">
        <v>39</v>
      </c>
      <c r="F40" t="s">
        <v>37</v>
      </c>
      <c r="G40" t="s">
        <v>152</v>
      </c>
      <c r="H40" t="s">
        <v>57</v>
      </c>
      <c r="I40" t="s">
        <v>153</v>
      </c>
    </row>
    <row r="41" spans="5:10" x14ac:dyDescent="0.3">
      <c r="E41">
        <v>40</v>
      </c>
      <c r="F41" t="s">
        <v>154</v>
      </c>
      <c r="G41" t="s">
        <v>155</v>
      </c>
      <c r="H41" t="s">
        <v>48</v>
      </c>
      <c r="I41" t="s">
        <v>156</v>
      </c>
    </row>
    <row r="42" spans="5:10" x14ac:dyDescent="0.3">
      <c r="E42">
        <v>41</v>
      </c>
      <c r="F42" t="s">
        <v>157</v>
      </c>
      <c r="G42" t="s">
        <v>158</v>
      </c>
      <c r="H42" t="s">
        <v>57</v>
      </c>
      <c r="I42" t="s">
        <v>159</v>
      </c>
    </row>
    <row r="43" spans="5:10" x14ac:dyDescent="0.3">
      <c r="E43">
        <v>42</v>
      </c>
      <c r="F43" t="s">
        <v>160</v>
      </c>
      <c r="G43" t="s">
        <v>161</v>
      </c>
      <c r="H43" t="s">
        <v>48</v>
      </c>
      <c r="I43" t="s">
        <v>162</v>
      </c>
      <c r="J43" t="s">
        <v>163</v>
      </c>
    </row>
    <row r="44" spans="5:10" x14ac:dyDescent="0.3">
      <c r="E44">
        <v>43</v>
      </c>
      <c r="F44" t="s">
        <v>164</v>
      </c>
      <c r="G44" t="s">
        <v>165</v>
      </c>
      <c r="H44" t="s">
        <v>48</v>
      </c>
      <c r="I44" t="s">
        <v>163</v>
      </c>
    </row>
    <row r="170" spans="6:10" x14ac:dyDescent="0.3">
      <c r="F170" t="s">
        <v>42</v>
      </c>
      <c r="G170" t="s">
        <v>121</v>
      </c>
      <c r="H170" t="s">
        <v>122</v>
      </c>
      <c r="I170" t="s">
        <v>48</v>
      </c>
      <c r="J170" t="s">
        <v>123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1EDBE-A52D-4A81-BA49-5774A3241F6B}">
  <dimension ref="C3:I49"/>
  <sheetViews>
    <sheetView showGridLines="0" tabSelected="1" topLeftCell="A10" workbookViewId="0">
      <selection activeCell="G21" sqref="G21"/>
    </sheetView>
  </sheetViews>
  <sheetFormatPr defaultRowHeight="17.25" x14ac:dyDescent="0.3"/>
  <cols>
    <col min="3" max="3" width="6.5546875" customWidth="1"/>
    <col min="4" max="4" width="49" customWidth="1"/>
    <col min="5" max="5" width="16.109375" customWidth="1"/>
    <col min="6" max="6" width="14.44140625" customWidth="1"/>
    <col min="7" max="7" width="17.6640625" customWidth="1"/>
    <col min="8" max="8" width="23.5546875" customWidth="1"/>
    <col min="9" max="9" width="14.88671875" bestFit="1" customWidth="1"/>
  </cols>
  <sheetData>
    <row r="3" spans="3:9" x14ac:dyDescent="0.3">
      <c r="D3" t="s">
        <v>193</v>
      </c>
    </row>
    <row r="6" spans="3:9" ht="30.75" customHeight="1" x14ac:dyDescent="0.3">
      <c r="C6" s="6" t="s">
        <v>166</v>
      </c>
      <c r="D6" s="6" t="s">
        <v>167</v>
      </c>
      <c r="E6" s="6" t="s">
        <v>172</v>
      </c>
      <c r="F6" s="6" t="s">
        <v>169</v>
      </c>
      <c r="G6" s="6" t="s">
        <v>173</v>
      </c>
      <c r="H6" s="6" t="s">
        <v>174</v>
      </c>
      <c r="I6" s="6" t="s">
        <v>175</v>
      </c>
    </row>
    <row r="7" spans="3:9" ht="20.25" x14ac:dyDescent="0.35">
      <c r="C7" s="3">
        <v>1</v>
      </c>
      <c r="D7" s="4" t="s">
        <v>4</v>
      </c>
      <c r="E7" s="3">
        <v>12</v>
      </c>
      <c r="F7" s="3">
        <v>4</v>
      </c>
      <c r="G7" s="5">
        <v>1.9097222222222222E-3</v>
      </c>
      <c r="H7" s="4" t="s">
        <v>176</v>
      </c>
      <c r="I7" s="3">
        <v>3</v>
      </c>
    </row>
    <row r="8" spans="3:9" ht="20.25" x14ac:dyDescent="0.35">
      <c r="C8" s="3">
        <v>3</v>
      </c>
      <c r="D8" s="4" t="s">
        <v>5</v>
      </c>
      <c r="E8" s="3">
        <v>12</v>
      </c>
      <c r="F8" s="3">
        <v>5</v>
      </c>
      <c r="G8" s="5">
        <v>5.5555555555555558E-3</v>
      </c>
      <c r="H8" s="4" t="s">
        <v>177</v>
      </c>
      <c r="I8" s="3">
        <v>0</v>
      </c>
    </row>
    <row r="9" spans="3:9" ht="20.25" x14ac:dyDescent="0.35">
      <c r="C9" s="3">
        <v>4</v>
      </c>
      <c r="D9" s="4" t="s">
        <v>6</v>
      </c>
      <c r="E9" s="3">
        <v>51</v>
      </c>
      <c r="F9" s="3">
        <v>2</v>
      </c>
      <c r="G9" s="5">
        <v>1.5972222222222223E-3</v>
      </c>
      <c r="H9" s="4" t="s">
        <v>178</v>
      </c>
      <c r="I9" s="3">
        <v>2</v>
      </c>
    </row>
    <row r="10" spans="3:9" ht="20.25" x14ac:dyDescent="0.35">
      <c r="C10" s="3">
        <v>5</v>
      </c>
      <c r="D10" s="4" t="s">
        <v>7</v>
      </c>
      <c r="E10" s="3">
        <v>6</v>
      </c>
      <c r="F10" s="3">
        <v>1</v>
      </c>
      <c r="G10" s="5">
        <v>1.7592592592592592E-3</v>
      </c>
      <c r="H10" s="4" t="s">
        <v>178</v>
      </c>
      <c r="I10" s="3">
        <v>1</v>
      </c>
    </row>
    <row r="11" spans="3:9" ht="20.25" x14ac:dyDescent="0.35">
      <c r="C11" s="3">
        <v>6</v>
      </c>
      <c r="D11" s="4" t="s">
        <v>179</v>
      </c>
      <c r="E11" s="3">
        <v>6</v>
      </c>
      <c r="F11" s="3">
        <v>3</v>
      </c>
      <c r="G11" s="5">
        <v>3.1134259259259257E-3</v>
      </c>
      <c r="H11" s="4" t="s">
        <v>180</v>
      </c>
      <c r="I11" s="3">
        <v>1</v>
      </c>
    </row>
    <row r="12" spans="3:9" ht="20.25" x14ac:dyDescent="0.35">
      <c r="C12" s="3">
        <v>7</v>
      </c>
      <c r="D12" s="4" t="s">
        <v>8</v>
      </c>
      <c r="E12" s="3">
        <v>7</v>
      </c>
      <c r="F12" s="3">
        <v>2</v>
      </c>
      <c r="G12" s="5">
        <v>1.724537037037037E-3</v>
      </c>
      <c r="H12" s="4" t="s">
        <v>181</v>
      </c>
      <c r="I12" s="3">
        <v>0</v>
      </c>
    </row>
    <row r="13" spans="3:9" ht="20.25" x14ac:dyDescent="0.35">
      <c r="C13" s="3">
        <v>8</v>
      </c>
      <c r="D13" s="4" t="s">
        <v>9</v>
      </c>
      <c r="E13" s="3">
        <v>11</v>
      </c>
      <c r="F13" s="3">
        <v>1</v>
      </c>
      <c r="G13" s="5">
        <v>2.8703703703703703E-3</v>
      </c>
      <c r="H13" s="4" t="s">
        <v>181</v>
      </c>
      <c r="I13" s="3">
        <v>0</v>
      </c>
    </row>
    <row r="14" spans="3:9" ht="20.25" x14ac:dyDescent="0.35">
      <c r="C14" s="3">
        <v>9</v>
      </c>
      <c r="D14" s="4" t="s">
        <v>10</v>
      </c>
      <c r="E14" s="3">
        <v>4</v>
      </c>
      <c r="F14" s="3">
        <v>2</v>
      </c>
      <c r="G14" s="5">
        <v>2.3148148148148147E-3</v>
      </c>
      <c r="H14" s="4" t="s">
        <v>181</v>
      </c>
      <c r="I14" s="3">
        <v>0</v>
      </c>
    </row>
    <row r="15" spans="3:9" ht="20.25" x14ac:dyDescent="0.35">
      <c r="C15" s="3">
        <v>10</v>
      </c>
      <c r="D15" s="4" t="s">
        <v>11</v>
      </c>
      <c r="E15" s="3">
        <v>22</v>
      </c>
      <c r="F15" s="3">
        <v>1</v>
      </c>
      <c r="G15" s="5">
        <v>2.8819444444444444E-3</v>
      </c>
      <c r="H15" s="4" t="s">
        <v>181</v>
      </c>
      <c r="I15" s="3">
        <v>0</v>
      </c>
    </row>
    <row r="16" spans="3:9" ht="20.25" x14ac:dyDescent="0.35">
      <c r="C16" s="3">
        <v>11</v>
      </c>
      <c r="D16" s="4" t="s">
        <v>12</v>
      </c>
      <c r="E16" s="3">
        <v>126</v>
      </c>
      <c r="F16" s="3">
        <v>0</v>
      </c>
      <c r="G16" s="5">
        <v>1.4467592592592592E-3</v>
      </c>
      <c r="H16" s="4" t="s">
        <v>181</v>
      </c>
      <c r="I16" s="3">
        <v>0</v>
      </c>
    </row>
    <row r="17" spans="3:9" ht="20.25" x14ac:dyDescent="0.35">
      <c r="C17" s="3">
        <v>12</v>
      </c>
      <c r="D17" s="4" t="s">
        <v>13</v>
      </c>
      <c r="E17" s="3">
        <v>6</v>
      </c>
      <c r="F17" s="3">
        <v>0</v>
      </c>
      <c r="G17" s="5">
        <v>2.2569444444444442E-3</v>
      </c>
      <c r="H17" s="4" t="s">
        <v>181</v>
      </c>
      <c r="I17" s="3">
        <v>0</v>
      </c>
    </row>
    <row r="18" spans="3:9" ht="20.25" x14ac:dyDescent="0.35">
      <c r="C18" s="3">
        <v>13</v>
      </c>
      <c r="D18" s="4" t="s">
        <v>14</v>
      </c>
      <c r="E18" s="3">
        <v>68</v>
      </c>
      <c r="F18" s="3">
        <v>1</v>
      </c>
      <c r="G18" s="5">
        <v>4.8842592592592592E-3</v>
      </c>
      <c r="H18" s="4" t="s">
        <v>182</v>
      </c>
      <c r="I18" s="3">
        <v>0</v>
      </c>
    </row>
    <row r="19" spans="3:9" ht="20.25" x14ac:dyDescent="0.35">
      <c r="C19" s="3">
        <v>14</v>
      </c>
      <c r="D19" s="4" t="s">
        <v>15</v>
      </c>
      <c r="E19" s="3">
        <v>22</v>
      </c>
      <c r="F19" s="3">
        <v>3</v>
      </c>
      <c r="G19" s="5">
        <v>3.2060185185185186E-3</v>
      </c>
      <c r="H19" s="4" t="s">
        <v>182</v>
      </c>
      <c r="I19" s="3">
        <v>0</v>
      </c>
    </row>
    <row r="20" spans="3:9" ht="20.25" x14ac:dyDescent="0.35">
      <c r="C20" s="3">
        <v>15</v>
      </c>
      <c r="D20" s="4" t="s">
        <v>16</v>
      </c>
      <c r="E20" s="3">
        <v>6</v>
      </c>
      <c r="F20" s="3">
        <v>1</v>
      </c>
      <c r="G20" s="5">
        <v>1.5972222222222223E-3</v>
      </c>
      <c r="H20" s="4" t="s">
        <v>182</v>
      </c>
      <c r="I20" s="3">
        <v>0</v>
      </c>
    </row>
    <row r="21" spans="3:9" ht="20.25" x14ac:dyDescent="0.35">
      <c r="C21" s="3">
        <v>16</v>
      </c>
      <c r="D21" s="4" t="s">
        <v>183</v>
      </c>
      <c r="E21" s="3">
        <v>65</v>
      </c>
      <c r="F21" s="3">
        <v>1</v>
      </c>
      <c r="G21" s="5">
        <v>1.3657407407407407E-3</v>
      </c>
      <c r="H21" s="4" t="s">
        <v>182</v>
      </c>
      <c r="I21" s="3">
        <v>0</v>
      </c>
    </row>
    <row r="22" spans="3:9" ht="20.25" x14ac:dyDescent="0.35">
      <c r="C22" s="3">
        <v>17</v>
      </c>
      <c r="D22" s="4" t="s">
        <v>17</v>
      </c>
      <c r="E22" s="3">
        <v>39</v>
      </c>
      <c r="F22" s="3">
        <v>5</v>
      </c>
      <c r="G22" s="5">
        <v>3.5069444444444445E-3</v>
      </c>
      <c r="H22" s="4" t="s">
        <v>184</v>
      </c>
      <c r="I22" s="3">
        <v>0</v>
      </c>
    </row>
    <row r="23" spans="3:9" ht="20.25" x14ac:dyDescent="0.35">
      <c r="C23" s="3">
        <v>18</v>
      </c>
      <c r="D23" s="4" t="s">
        <v>18</v>
      </c>
      <c r="E23" s="3">
        <v>35</v>
      </c>
      <c r="F23" s="3">
        <v>2</v>
      </c>
      <c r="G23" s="5">
        <v>4.4907407407407405E-3</v>
      </c>
      <c r="H23" s="4" t="s">
        <v>184</v>
      </c>
      <c r="I23" s="3">
        <v>0</v>
      </c>
    </row>
    <row r="24" spans="3:9" ht="20.25" x14ac:dyDescent="0.35">
      <c r="C24" s="3">
        <v>19</v>
      </c>
      <c r="D24" s="4" t="s">
        <v>19</v>
      </c>
      <c r="E24" s="3">
        <v>18</v>
      </c>
      <c r="F24" s="3">
        <v>5</v>
      </c>
      <c r="G24" s="5">
        <v>2.1412037037037038E-3</v>
      </c>
      <c r="H24" s="4" t="s">
        <v>185</v>
      </c>
      <c r="I24" s="3">
        <v>0</v>
      </c>
    </row>
    <row r="25" spans="3:9" ht="20.25" x14ac:dyDescent="0.35">
      <c r="C25" s="3">
        <v>20</v>
      </c>
      <c r="D25" s="4" t="s">
        <v>20</v>
      </c>
      <c r="E25" s="3">
        <v>13</v>
      </c>
      <c r="F25" s="3">
        <v>1</v>
      </c>
      <c r="G25" s="5">
        <v>2.3148148148148147E-3</v>
      </c>
      <c r="H25" s="4" t="s">
        <v>185</v>
      </c>
      <c r="I25" s="3">
        <v>0</v>
      </c>
    </row>
    <row r="26" spans="3:9" ht="20.25" x14ac:dyDescent="0.35">
      <c r="C26" s="3">
        <v>21</v>
      </c>
      <c r="D26" s="4" t="s">
        <v>21</v>
      </c>
      <c r="E26" s="3">
        <v>16</v>
      </c>
      <c r="F26" s="3">
        <v>0</v>
      </c>
      <c r="G26" s="5">
        <v>3.449074074074074E-3</v>
      </c>
      <c r="H26" s="4" t="s">
        <v>185</v>
      </c>
      <c r="I26" s="3">
        <v>0</v>
      </c>
    </row>
    <row r="27" spans="3:9" ht="20.25" x14ac:dyDescent="0.35">
      <c r="C27" s="3">
        <v>22</v>
      </c>
      <c r="D27" s="4" t="s">
        <v>22</v>
      </c>
      <c r="E27" s="3">
        <v>18</v>
      </c>
      <c r="F27" s="3">
        <v>2</v>
      </c>
      <c r="G27" s="5">
        <v>3.0439814814814813E-3</v>
      </c>
      <c r="H27" s="4" t="s">
        <v>186</v>
      </c>
      <c r="I27" s="3">
        <v>0</v>
      </c>
    </row>
    <row r="28" spans="3:9" ht="20.25" x14ac:dyDescent="0.35">
      <c r="C28" s="3">
        <v>23</v>
      </c>
      <c r="D28" s="4" t="s">
        <v>23</v>
      </c>
      <c r="E28" s="3">
        <v>27</v>
      </c>
      <c r="F28" s="3">
        <v>4</v>
      </c>
      <c r="G28" s="5">
        <v>2.9398148148148148E-3</v>
      </c>
      <c r="H28" s="4" t="s">
        <v>186</v>
      </c>
      <c r="I28" s="3">
        <v>0</v>
      </c>
    </row>
    <row r="29" spans="3:9" ht="20.25" x14ac:dyDescent="0.35">
      <c r="C29" s="3">
        <v>24</v>
      </c>
      <c r="D29" s="4" t="s">
        <v>24</v>
      </c>
      <c r="E29" s="3">
        <v>72</v>
      </c>
      <c r="F29" s="3">
        <v>1</v>
      </c>
      <c r="G29" s="5">
        <v>1.4583333333333334E-3</v>
      </c>
      <c r="H29" s="4" t="s">
        <v>187</v>
      </c>
      <c r="I29" s="3">
        <v>0</v>
      </c>
    </row>
    <row r="30" spans="3:9" ht="20.25" x14ac:dyDescent="0.35">
      <c r="C30" s="3">
        <v>25</v>
      </c>
      <c r="D30" s="4" t="s">
        <v>25</v>
      </c>
      <c r="E30" s="3">
        <v>121</v>
      </c>
      <c r="F30" s="3">
        <v>5</v>
      </c>
      <c r="G30" s="5">
        <v>1.6666666666666668E-3</v>
      </c>
      <c r="H30" s="4" t="s">
        <v>187</v>
      </c>
      <c r="I30" s="3">
        <v>0</v>
      </c>
    </row>
    <row r="31" spans="3:9" ht="20.25" x14ac:dyDescent="0.35">
      <c r="C31" s="3">
        <v>26</v>
      </c>
      <c r="D31" s="4" t="s">
        <v>26</v>
      </c>
      <c r="E31" s="3">
        <v>40</v>
      </c>
      <c r="F31" s="3">
        <v>2</v>
      </c>
      <c r="G31" s="5">
        <v>2.3842592592592591E-3</v>
      </c>
      <c r="H31" s="4" t="s">
        <v>188</v>
      </c>
      <c r="I31" s="3">
        <v>1</v>
      </c>
    </row>
    <row r="32" spans="3:9" ht="20.25" x14ac:dyDescent="0.35">
      <c r="C32" s="3">
        <v>27</v>
      </c>
      <c r="D32" s="4" t="s">
        <v>27</v>
      </c>
      <c r="E32" s="3">
        <v>52</v>
      </c>
      <c r="F32" s="3">
        <v>0</v>
      </c>
      <c r="G32" s="5">
        <v>3.414351851851852E-3</v>
      </c>
      <c r="H32" s="4" t="s">
        <v>188</v>
      </c>
      <c r="I32" s="3">
        <v>0</v>
      </c>
    </row>
    <row r="33" spans="3:9" ht="20.25" x14ac:dyDescent="0.35">
      <c r="C33" s="3">
        <v>28</v>
      </c>
      <c r="D33" s="4" t="s">
        <v>28</v>
      </c>
      <c r="E33" s="3">
        <v>59</v>
      </c>
      <c r="F33" s="3">
        <v>1</v>
      </c>
      <c r="G33" s="5">
        <v>1.712962962962963E-3</v>
      </c>
      <c r="H33" s="4" t="s">
        <v>189</v>
      </c>
      <c r="I33" s="3">
        <v>0</v>
      </c>
    </row>
    <row r="34" spans="3:9" ht="20.25" x14ac:dyDescent="0.35">
      <c r="C34" s="3">
        <v>29</v>
      </c>
      <c r="D34" s="4" t="s">
        <v>29</v>
      </c>
      <c r="E34" s="3">
        <v>24</v>
      </c>
      <c r="F34" s="3">
        <v>0</v>
      </c>
      <c r="G34" s="5">
        <v>3.9699074074074072E-3</v>
      </c>
      <c r="H34" s="4" t="s">
        <v>189</v>
      </c>
      <c r="I34" s="3">
        <v>0</v>
      </c>
    </row>
    <row r="35" spans="3:9" ht="20.25" x14ac:dyDescent="0.35">
      <c r="C35" s="3">
        <v>30</v>
      </c>
      <c r="D35" s="4" t="s">
        <v>30</v>
      </c>
      <c r="E35" s="3">
        <v>151</v>
      </c>
      <c r="F35" s="3">
        <v>0</v>
      </c>
      <c r="G35" s="5">
        <v>2.9629629629629628E-3</v>
      </c>
      <c r="H35" s="4" t="s">
        <v>189</v>
      </c>
      <c r="I35" s="3">
        <v>0</v>
      </c>
    </row>
    <row r="36" spans="3:9" ht="20.25" x14ac:dyDescent="0.35">
      <c r="C36" s="3">
        <v>31</v>
      </c>
      <c r="D36" s="4" t="s">
        <v>31</v>
      </c>
      <c r="E36" s="3">
        <v>59</v>
      </c>
      <c r="F36" s="3">
        <v>0</v>
      </c>
      <c r="G36" s="5">
        <v>2.8009259259259259E-3</v>
      </c>
      <c r="H36" s="4" t="s">
        <v>189</v>
      </c>
      <c r="I36" s="3">
        <v>0</v>
      </c>
    </row>
    <row r="37" spans="3:9" ht="20.25" x14ac:dyDescent="0.35">
      <c r="C37" s="3">
        <v>32</v>
      </c>
      <c r="D37" s="4" t="s">
        <v>32</v>
      </c>
      <c r="E37" s="3">
        <v>78</v>
      </c>
      <c r="F37" s="3">
        <v>0</v>
      </c>
      <c r="G37" s="5">
        <v>2.8124999999999999E-3</v>
      </c>
      <c r="H37" s="4" t="s">
        <v>189</v>
      </c>
      <c r="I37" s="3">
        <v>0</v>
      </c>
    </row>
    <row r="38" spans="3:9" ht="20.25" x14ac:dyDescent="0.35">
      <c r="C38" s="3">
        <v>33</v>
      </c>
      <c r="D38" s="4" t="s">
        <v>190</v>
      </c>
      <c r="E38" s="3">
        <v>0</v>
      </c>
      <c r="F38" s="3">
        <v>3</v>
      </c>
      <c r="G38" s="5">
        <v>3.7615740740740739E-3</v>
      </c>
      <c r="H38" s="4" t="s">
        <v>177</v>
      </c>
      <c r="I38" s="3">
        <v>0</v>
      </c>
    </row>
    <row r="39" spans="3:9" ht="20.25" x14ac:dyDescent="0.35">
      <c r="C39" s="3">
        <v>34</v>
      </c>
      <c r="D39" s="4" t="s">
        <v>33</v>
      </c>
      <c r="E39" s="3">
        <v>52</v>
      </c>
      <c r="F39" s="3">
        <v>1</v>
      </c>
      <c r="G39" s="5">
        <v>3.3564814814814816E-3</v>
      </c>
      <c r="H39" s="4" t="s">
        <v>177</v>
      </c>
      <c r="I39" s="3">
        <v>1</v>
      </c>
    </row>
    <row r="40" spans="3:9" ht="20.25" x14ac:dyDescent="0.35">
      <c r="C40" s="3">
        <v>35</v>
      </c>
      <c r="D40" s="4" t="s">
        <v>34</v>
      </c>
      <c r="E40" s="3">
        <v>50</v>
      </c>
      <c r="F40" s="3">
        <v>2</v>
      </c>
      <c r="G40" s="5">
        <v>3.7847222222222223E-3</v>
      </c>
      <c r="H40" s="4" t="s">
        <v>177</v>
      </c>
      <c r="I40" s="3">
        <v>0</v>
      </c>
    </row>
    <row r="41" spans="3:9" ht="20.25" x14ac:dyDescent="0.35">
      <c r="C41" s="3">
        <v>36</v>
      </c>
      <c r="D41" s="4" t="s">
        <v>35</v>
      </c>
      <c r="E41" s="3">
        <v>35</v>
      </c>
      <c r="F41" s="3">
        <v>1</v>
      </c>
      <c r="G41" s="5">
        <v>3.2754629629629631E-3</v>
      </c>
      <c r="H41" s="4" t="s">
        <v>177</v>
      </c>
      <c r="I41" s="3">
        <v>1</v>
      </c>
    </row>
    <row r="42" spans="3:9" ht="20.25" x14ac:dyDescent="0.35">
      <c r="C42" s="3">
        <v>37</v>
      </c>
      <c r="D42" s="4" t="s">
        <v>36</v>
      </c>
      <c r="E42" s="3">
        <v>54</v>
      </c>
      <c r="F42" s="3">
        <v>1</v>
      </c>
      <c r="G42" s="5">
        <v>5.5555555555555558E-3</v>
      </c>
      <c r="H42" s="4" t="s">
        <v>177</v>
      </c>
      <c r="I42" s="3">
        <v>1</v>
      </c>
    </row>
    <row r="43" spans="3:9" ht="20.25" x14ac:dyDescent="0.35">
      <c r="C43" s="3">
        <v>38</v>
      </c>
      <c r="D43" s="4" t="s">
        <v>191</v>
      </c>
      <c r="E43" s="3">
        <v>46</v>
      </c>
      <c r="F43" s="3">
        <v>0</v>
      </c>
      <c r="G43" s="5">
        <v>3.1481481481481482E-3</v>
      </c>
      <c r="H43" s="4" t="s">
        <v>192</v>
      </c>
      <c r="I43" s="3">
        <v>0</v>
      </c>
    </row>
    <row r="44" spans="3:9" ht="20.25" x14ac:dyDescent="0.35">
      <c r="C44" s="3">
        <v>39</v>
      </c>
      <c r="D44" s="4" t="s">
        <v>37</v>
      </c>
      <c r="E44" s="3">
        <v>66</v>
      </c>
      <c r="F44" s="3">
        <v>2</v>
      </c>
      <c r="G44" s="5">
        <v>2.662037037037037E-3</v>
      </c>
      <c r="H44" s="4" t="s">
        <v>192</v>
      </c>
      <c r="I44" s="3">
        <v>0</v>
      </c>
    </row>
    <row r="45" spans="3:9" ht="20.25" x14ac:dyDescent="0.35">
      <c r="C45" s="3">
        <v>40</v>
      </c>
      <c r="D45" s="4" t="s">
        <v>38</v>
      </c>
      <c r="E45" s="3">
        <v>60</v>
      </c>
      <c r="F45" s="3">
        <v>1</v>
      </c>
      <c r="G45" s="5">
        <v>2.3379629629629631E-3</v>
      </c>
      <c r="H45" s="4" t="s">
        <v>192</v>
      </c>
      <c r="I45" s="3">
        <v>0</v>
      </c>
    </row>
    <row r="46" spans="3:9" ht="20.25" x14ac:dyDescent="0.35">
      <c r="C46" s="3">
        <v>41</v>
      </c>
      <c r="D46" s="4" t="s">
        <v>39</v>
      </c>
      <c r="E46" s="3">
        <v>67</v>
      </c>
      <c r="F46" s="3">
        <v>2</v>
      </c>
      <c r="G46" s="5">
        <v>2.8703703703703703E-3</v>
      </c>
      <c r="H46" s="4" t="s">
        <v>192</v>
      </c>
      <c r="I46" s="3">
        <v>0</v>
      </c>
    </row>
    <row r="47" spans="3:9" ht="20.25" x14ac:dyDescent="0.35">
      <c r="C47" s="3">
        <v>42</v>
      </c>
      <c r="D47" s="4" t="s">
        <v>40</v>
      </c>
      <c r="E47" s="3">
        <v>80</v>
      </c>
      <c r="F47" s="3">
        <v>1</v>
      </c>
      <c r="G47" s="5">
        <v>2.1180555555555558E-3</v>
      </c>
      <c r="H47" s="4" t="s">
        <v>192</v>
      </c>
      <c r="I47" s="3">
        <v>1</v>
      </c>
    </row>
    <row r="48" spans="3:9" ht="20.25" x14ac:dyDescent="0.35">
      <c r="C48" s="3">
        <v>43</v>
      </c>
      <c r="D48" s="4" t="s">
        <v>41</v>
      </c>
      <c r="E48" s="3">
        <v>503</v>
      </c>
      <c r="F48" s="3">
        <v>1</v>
      </c>
      <c r="G48" s="5">
        <v>2.1180555555555558E-3</v>
      </c>
      <c r="H48" s="4" t="s">
        <v>192</v>
      </c>
      <c r="I48" s="3">
        <v>0</v>
      </c>
    </row>
    <row r="49" spans="3:9" x14ac:dyDescent="0.3">
      <c r="C49" t="s">
        <v>194</v>
      </c>
      <c r="E49">
        <f>SUBTOTAL(109,fullsongData[Plays])</f>
        <v>2259</v>
      </c>
      <c r="F49">
        <f>SUBTOTAL(109,fullsongData[likes])</f>
        <v>70</v>
      </c>
      <c r="G49" s="2">
        <f>SUBTOTAL(109,fullsongData[Duration])</f>
        <v>0.11854166666666663</v>
      </c>
      <c r="H49" t="e">
        <f>SUBTOTAL(101,fullsongData[Published])</f>
        <v>#DIV/0!</v>
      </c>
      <c r="I49">
        <f>SUBTOTAL(109,fullsongData[Comments])</f>
        <v>12</v>
      </c>
    </row>
  </sheetData>
  <conditionalFormatting sqref="E7:E48">
    <cfRule type="colorScale" priority="6">
      <colorScale>
        <cfvo type="min"/>
        <cfvo type="max"/>
        <color rgb="FFFCFCFF"/>
        <color rgb="FF63BE7B"/>
      </colorScale>
    </cfRule>
  </conditionalFormatting>
  <conditionalFormatting sqref="F7:F48">
    <cfRule type="colorScale" priority="5">
      <colorScale>
        <cfvo type="min"/>
        <cfvo type="max"/>
        <color rgb="FFFCFCFF"/>
        <color rgb="FF63BE7B"/>
      </colorScale>
    </cfRule>
  </conditionalFormatting>
  <conditionalFormatting sqref="C7:I48">
    <cfRule type="expression" dxfId="10" priority="2">
      <formula>$I7&gt;0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6D69E63C97AFC4689B3562466298CD6" ma:contentTypeVersion="35" ma:contentTypeDescription="Create a new document." ma:contentTypeScope="" ma:versionID="83e22b16d337d0bf44a81604c4ad70d7">
  <xsd:schema xmlns:xsd="http://www.w3.org/2001/XMLSchema" xmlns:xs="http://www.w3.org/2001/XMLSchema" xmlns:p="http://schemas.microsoft.com/office/2006/metadata/properties" xmlns:ns1="http://schemas.microsoft.com/sharepoint/v3" xmlns:ns3="d8e44b58-1e06-4f65-8e4c-0a947f224058" xmlns:ns4="a59795ef-466b-4d8a-81cf-b1777890cfcd" targetNamespace="http://schemas.microsoft.com/office/2006/metadata/properties" ma:root="true" ma:fieldsID="f074ba44b8772647ef2bbb9aea709bd0" ns1:_="" ns3:_="" ns4:_="">
    <xsd:import namespace="http://schemas.microsoft.com/sharepoint/v3"/>
    <xsd:import namespace="d8e44b58-1e06-4f65-8e4c-0a947f224058"/>
    <xsd:import namespace="a59795ef-466b-4d8a-81cf-b1777890cfc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NotebookType" minOccurs="0"/>
                <xsd:element ref="ns3:FolderType" minOccurs="0"/>
                <xsd:element ref="ns3:CultureName" minOccurs="0"/>
                <xsd:element ref="ns3:AppVersion" minOccurs="0"/>
                <xsd:element ref="ns3:TeamsChannelId" minOccurs="0"/>
                <xsd:element ref="ns3:Owner" minOccurs="0"/>
                <xsd:element ref="ns3:DefaultSectionNames" minOccurs="0"/>
                <xsd:element ref="ns3:Templates" minOccurs="0"/>
                <xsd:element ref="ns3:Teachers" minOccurs="0"/>
                <xsd:element ref="ns3:Students" minOccurs="0"/>
                <xsd:element ref="ns3:Student_Groups" minOccurs="0"/>
                <xsd:element ref="ns3:Invited_Teachers" minOccurs="0"/>
                <xsd:element ref="ns3:Invited_Students" minOccurs="0"/>
                <xsd:element ref="ns3:Self_Registration_Enabled" minOccurs="0"/>
                <xsd:element ref="ns3:Has_Teacher_Only_SectionGroup" minOccurs="0"/>
                <xsd:element ref="ns3:Is_Collaboration_Space_Locked" minOccurs="0"/>
                <xsd:element ref="ns3:IsNotebookLocked" minOccurs="0"/>
                <xsd:element ref="ns4:_dlc_DocId" minOccurs="0"/>
                <xsd:element ref="ns4:_dlc_DocIdUrl" minOccurs="0"/>
                <xsd:element ref="ns4:_dlc_DocIdPersistId" minOccurs="0"/>
                <xsd:element ref="ns3:MediaServiceGenerationTime" minOccurs="0"/>
                <xsd:element ref="ns3:MediaServiceEventHashCode" minOccurs="0"/>
                <xsd:element ref="ns4:TaxKeywordTaxHTField" minOccurs="0"/>
                <xsd:element ref="ns4:TaxCatchAll" minOccurs="0"/>
                <xsd:element ref="ns3:MediaServiceAutoKeyPoints" minOccurs="0"/>
                <xsd:element ref="ns3:MediaServiceKeyPoints" minOccurs="0"/>
                <xsd:element ref="ns1:HelpSeeAlso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HelpSeeAlso" ma:index="44" nillable="true" ma:displayName="See Also Help Topics" ma:description="List of URLs for the Help documents you want to appear in the See Also control." ma:internalName="HelpSeeAlso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e44b58-1e06-4f65-8e4c-0a947f22405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NotebookType" ma:index="17" nillable="true" ma:displayName="Notebook Type" ma:internalName="NotebookType">
      <xsd:simpleType>
        <xsd:restriction base="dms:Text"/>
      </xsd:simpleType>
    </xsd:element>
    <xsd:element name="FolderType" ma:index="18" nillable="true" ma:displayName="Folder Type" ma:internalName="FolderType">
      <xsd:simpleType>
        <xsd:restriction base="dms:Text"/>
      </xsd:simpleType>
    </xsd:element>
    <xsd:element name="CultureName" ma:index="19" nillable="true" ma:displayName="Culture Name" ma:internalName="CultureName">
      <xsd:simpleType>
        <xsd:restriction base="dms:Text"/>
      </xsd:simpleType>
    </xsd:element>
    <xsd:element name="AppVersion" ma:index="20" nillable="true" ma:displayName="App Version" ma:internalName="AppVersion">
      <xsd:simpleType>
        <xsd:restriction base="dms:Text"/>
      </xsd:simpleType>
    </xsd:element>
    <xsd:element name="TeamsChannelId" ma:index="21" nillable="true" ma:displayName="Teams Channel Id" ma:internalName="TeamsChannelId">
      <xsd:simpleType>
        <xsd:restriction base="dms:Text"/>
      </xsd:simpleType>
    </xsd:element>
    <xsd:element name="Owner" ma:index="22" nillable="true" ma:displayName="Owner" ma:internalName="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efaultSectionNames" ma:index="23" nillable="true" ma:displayName="Default Section Names" ma:internalName="DefaultSectionNames">
      <xsd:simpleType>
        <xsd:restriction base="dms:Note">
          <xsd:maxLength value="255"/>
        </xsd:restriction>
      </xsd:simpleType>
    </xsd:element>
    <xsd:element name="Templates" ma:index="24" nillable="true" ma:displayName="Templates" ma:internalName="Templates">
      <xsd:simpleType>
        <xsd:restriction base="dms:Note">
          <xsd:maxLength value="255"/>
        </xsd:restriction>
      </xsd:simpleType>
    </xsd:element>
    <xsd:element name="Teachers" ma:index="25" nillable="true" ma:displayName="Teachers" ma:internalName="Teach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s" ma:index="26" nillable="true" ma:displayName="Students" ma:internalName="Student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_Groups" ma:index="27" nillable="true" ma:displayName="Student Groups" ma:internalName="Student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Invited_Teachers" ma:index="28" nillable="true" ma:displayName="Invited Teachers" ma:internalName="Invited_Teachers">
      <xsd:simpleType>
        <xsd:restriction base="dms:Note">
          <xsd:maxLength value="255"/>
        </xsd:restriction>
      </xsd:simpleType>
    </xsd:element>
    <xsd:element name="Invited_Students" ma:index="29" nillable="true" ma:displayName="Invited Students" ma:internalName="Invited_Students">
      <xsd:simpleType>
        <xsd:restriction base="dms:Note">
          <xsd:maxLength value="255"/>
        </xsd:restriction>
      </xsd:simpleType>
    </xsd:element>
    <xsd:element name="Self_Registration_Enabled" ma:index="30" nillable="true" ma:displayName="Self Registration Enabled" ma:internalName="Self_Registration_Enabled">
      <xsd:simpleType>
        <xsd:restriction base="dms:Boolean"/>
      </xsd:simpleType>
    </xsd:element>
    <xsd:element name="Has_Teacher_Only_SectionGroup" ma:index="31" nillable="true" ma:displayName="Has Teacher Only SectionGroup" ma:internalName="Has_Teacher_Only_SectionGroup">
      <xsd:simpleType>
        <xsd:restriction base="dms:Boolean"/>
      </xsd:simpleType>
    </xsd:element>
    <xsd:element name="Is_Collaboration_Space_Locked" ma:index="32" nillable="true" ma:displayName="Is Collaboration Space Locked" ma:internalName="Is_Collaboration_Space_Locked">
      <xsd:simpleType>
        <xsd:restriction base="dms:Boolean"/>
      </xsd:simpleType>
    </xsd:element>
    <xsd:element name="IsNotebookLocked" ma:index="33" nillable="true" ma:displayName="Is Notebook Locked" ma:internalName="IsNotebookLocked">
      <xsd:simpleType>
        <xsd:restriction base="dms:Boolean"/>
      </xsd:simpleType>
    </xsd:element>
    <xsd:element name="MediaServiceGenerationTime" ma:index="3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4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4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9795ef-466b-4d8a-81cf-b1777890cfcd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  <xsd:element name="_dlc_DocId" ma:index="34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35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36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KeywordTaxHTField" ma:index="40" nillable="true" ma:taxonomy="true" ma:internalName="TaxKeywordTaxHTField" ma:taxonomyFieldName="TaxKeyword" ma:displayName="Enterprise Keywords" ma:fieldId="{23f27201-bee3-471e-b2e7-b64fd8b7ca38}" ma:taxonomyMulti="true" ma:sspId="e3c0255a-795b-49b9-b324-2d8adb793fc8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41" nillable="true" ma:displayName="Taxonomy Catch All Column" ma:hidden="true" ma:list="{644fc1df-2759-4e04-8276-fec400c2b110}" ma:internalName="TaxCatchAll" ma:showField="CatchAllData" ma:web="a59795ef-466b-4d8a-81cf-b1777890cfc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KeywordTaxHTField xmlns="a59795ef-466b-4d8a-81cf-b1777890cfcd">
      <Terms xmlns="http://schemas.microsoft.com/office/infopath/2007/PartnerControls"/>
    </TaxKeywordTaxHTField>
    <NotebookType xmlns="d8e44b58-1e06-4f65-8e4c-0a947f224058" xsi:nil="true"/>
    <Has_Teacher_Only_SectionGroup xmlns="d8e44b58-1e06-4f65-8e4c-0a947f224058" xsi:nil="true"/>
    <Invited_Students xmlns="d8e44b58-1e06-4f65-8e4c-0a947f224058" xsi:nil="true"/>
    <FolderType xmlns="d8e44b58-1e06-4f65-8e4c-0a947f224058" xsi:nil="true"/>
    <CultureName xmlns="d8e44b58-1e06-4f65-8e4c-0a947f224058" xsi:nil="true"/>
    <Owner xmlns="d8e44b58-1e06-4f65-8e4c-0a947f224058">
      <UserInfo>
        <DisplayName/>
        <AccountId xsi:nil="true"/>
        <AccountType/>
      </UserInfo>
    </Owner>
    <AppVersion xmlns="d8e44b58-1e06-4f65-8e4c-0a947f224058" xsi:nil="true"/>
    <Templates xmlns="d8e44b58-1e06-4f65-8e4c-0a947f224058" xsi:nil="true"/>
    <TeamsChannelId xmlns="d8e44b58-1e06-4f65-8e4c-0a947f224058" xsi:nil="true"/>
    <Invited_Teachers xmlns="d8e44b58-1e06-4f65-8e4c-0a947f224058" xsi:nil="true"/>
    <IsNotebookLocked xmlns="d8e44b58-1e06-4f65-8e4c-0a947f224058" xsi:nil="true"/>
    <Self_Registration_Enabled xmlns="d8e44b58-1e06-4f65-8e4c-0a947f224058" xsi:nil="true"/>
    <DefaultSectionNames xmlns="d8e44b58-1e06-4f65-8e4c-0a947f224058" xsi:nil="true"/>
    <Is_Collaboration_Space_Locked xmlns="d8e44b58-1e06-4f65-8e4c-0a947f224058" xsi:nil="true"/>
    <HelpSeeAlso xmlns="http://schemas.microsoft.com/sharepoint/v3" xsi:nil="true"/>
    <Teachers xmlns="d8e44b58-1e06-4f65-8e4c-0a947f224058">
      <UserInfo>
        <DisplayName/>
        <AccountId xsi:nil="true"/>
        <AccountType/>
      </UserInfo>
    </Teachers>
    <Students xmlns="d8e44b58-1e06-4f65-8e4c-0a947f224058">
      <UserInfo>
        <DisplayName/>
        <AccountId xsi:nil="true"/>
        <AccountType/>
      </UserInfo>
    </Students>
    <Student_Groups xmlns="d8e44b58-1e06-4f65-8e4c-0a947f224058">
      <UserInfo>
        <DisplayName/>
        <AccountId xsi:nil="true"/>
        <AccountType/>
      </UserInfo>
    </Student_Groups>
    <TaxCatchAll xmlns="a59795ef-466b-4d8a-81cf-b1777890cfcd"/>
  </documentManagement>
</p:properties>
</file>

<file path=customXml/itemProps1.xml><?xml version="1.0" encoding="utf-8"?>
<ds:datastoreItem xmlns:ds="http://schemas.openxmlformats.org/officeDocument/2006/customXml" ds:itemID="{E38026C2-ECC3-42B7-934F-B075AA2EF21C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5FDFACD-99C7-4FEF-973A-698A529E0690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17A7B261-5C4D-4E04-83DA-1B66817D1825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08255E12-AC94-4894-A2EA-021081F2E2D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8e44b58-1e06-4f65-8e4c-0a947f224058"/>
    <ds:schemaRef ds:uri="a59795ef-466b-4d8a-81cf-b1777890cfc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CAAD57A5-A0DA-471C-95F7-8903052FD35B}">
  <ds:schemaRefs>
    <ds:schemaRef ds:uri="http://schemas.microsoft.com/office/2006/metadata/properties"/>
    <ds:schemaRef ds:uri="http://schemas.microsoft.com/office/infopath/2007/PartnerControls"/>
    <ds:schemaRef ds:uri="a59795ef-466b-4d8a-81cf-b1777890cfcd"/>
    <ds:schemaRef ds:uri="d8e44b58-1e06-4f65-8e4c-0a947f224058"/>
    <ds:schemaRef ds:uri="http://schemas.microsoft.com/sharepoint/v3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Original Data</vt:lpstr>
      <vt:lpstr>Revised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Hamilton</dc:creator>
  <cp:lastModifiedBy>Jake Hamilton</cp:lastModifiedBy>
  <dcterms:created xsi:type="dcterms:W3CDTF">2019-10-14T03:36:09Z</dcterms:created>
  <dcterms:modified xsi:type="dcterms:W3CDTF">2019-11-13T12:40:21Z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0x010100C6D69E63C97AFC4689B3562466298CD6</vt:lpwstr>
  </property>
</Properties>
</file>